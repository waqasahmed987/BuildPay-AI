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Rawalpindi Rates" sheetId="4" state="visible" r:id="rId4"/>
  </sheets>
  <definedNames>
    <definedName name="_xlnm._FilterDatabase" localSheetId="0" hidden="1">'BOQ'!$A$10:$J$42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i val="1"/>
      <color rgb="009C0006"/>
    </font>
    <font>
      <b val="1"/>
      <color rgb="00FFFFFF"/>
    </font>
    <font>
      <b val="1"/>
    </font>
    <font>
      <b val="1"/>
      <sz val="14"/>
    </font>
    <font>
      <i val="1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3">
    <border>
      <left/>
      <right/>
      <top/>
      <bottom/>
      <diagonal/>
    </border>
    <border>
      <bottom style="hair">
        <color rgb="00D9E2EC"/>
      </bottom>
    </border>
    <border>
      <left/>
      <right/>
      <top/>
      <bottom style="hair">
        <color rgb="00D9E2EC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0" borderId="2" pivotButton="0" quotePrefix="0" xfId="0"/>
    <xf numFmtId="0" fontId="6" fillId="0" borderId="1" applyAlignment="1" pivotButton="0" quotePrefix="0" xfId="0">
      <alignment wrapText="1"/>
    </xf>
    <xf numFmtId="0" fontId="4" fillId="2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3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58" customWidth="1" min="3" max="3"/>
    <col width="10" customWidth="1" min="4" max="4"/>
    <col width="14" customWidth="1" min="5" max="5"/>
    <col width="18" customWidth="1" min="6" max="6"/>
    <col width="18" customWidth="1" min="7" max="7"/>
    <col width="16" customWidth="1" min="8" max="8"/>
    <col width="20" customWidth="1" min="9" max="9"/>
    <col width="28" customWidth="1" min="10" max="10"/>
  </cols>
  <sheetData>
    <row r="1">
      <c r="A1" s="1" t="inlineStr">
        <is>
          <t>BOQ — Double Storey 5 Marla House (Civil Works Only)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2">
      <c r="A2" s="3" t="inlineStr">
        <is>
          <t>Illustrative planning/tender template. Verify quantities against approved drawings, soil report, specifications and local bylaws before use.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inlineStr">
        <is>
          <t>Plot area (sq ft)</t>
        </is>
      </c>
      <c r="B4" s="2" t="n">
        <v>1125</v>
      </c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inlineStr">
        <is>
          <t>Assumed total covered area (sq ft)</t>
        </is>
      </c>
      <c r="B5" s="2" t="n">
        <v>2250</v>
      </c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inlineStr">
        <is>
          <t>Storeys</t>
        </is>
      </c>
      <c r="B6" s="2" t="n">
        <v>2</v>
      </c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inlineStr">
        <is>
          <t>Currency</t>
        </is>
      </c>
      <c r="B7" s="2" t="inlineStr">
        <is>
          <t>PKR</t>
        </is>
      </c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inlineStr">
        <is>
          <t>Quantity basis</t>
        </is>
      </c>
      <c r="B8" s="2" t="inlineStr">
        <is>
          <t>Illustrative / editable</t>
        </is>
      </c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7" t="inlineStr">
        <is>
          <t>Rates based on indicative Rawalpindi market conditions, Sep 2026</t>
        </is>
      </c>
      <c r="G9" s="6" t="n"/>
      <c r="H9" s="2" t="n"/>
      <c r="I9" s="2" t="n"/>
      <c r="J9" s="2" t="n"/>
    </row>
    <row r="10">
      <c r="A10" s="8" t="inlineStr">
        <is>
          <t>Item Code</t>
        </is>
      </c>
      <c r="B10" s="8" t="inlineStr">
        <is>
          <t>Section</t>
        </is>
      </c>
      <c r="C10" s="8" t="inlineStr">
        <is>
          <t>Description</t>
        </is>
      </c>
      <c r="D10" s="8" t="inlineStr">
        <is>
          <t>Unit</t>
        </is>
      </c>
      <c r="E10" s="8" t="inlineStr">
        <is>
          <t>Qty</t>
        </is>
      </c>
      <c r="F10" s="8" t="inlineStr">
        <is>
          <t>Unit Rate (PKR)</t>
        </is>
      </c>
      <c r="G10" s="8" t="inlineStr">
        <is>
          <t>Amount (PKR)</t>
        </is>
      </c>
      <c r="H10" s="8" t="inlineStr">
        <is>
          <t>Contractor Qty</t>
        </is>
      </c>
      <c r="I10" s="8" t="inlineStr">
        <is>
          <t>Consultant Verified</t>
        </is>
      </c>
      <c r="J10" s="8" t="inlineStr">
        <is>
          <t>Client Note</t>
        </is>
      </c>
    </row>
    <row r="11">
      <c r="A11" s="2" t="inlineStr">
        <is>
          <t>MOB-01</t>
        </is>
      </c>
      <c r="B11" s="2" t="inlineStr">
        <is>
          <t>Mobilization</t>
        </is>
      </c>
      <c r="C11" s="2" t="inlineStr">
        <is>
          <t>Mobilization, site establishment and initial setting out</t>
        </is>
      </c>
      <c r="D11" s="2" t="inlineStr">
        <is>
          <t>LS</t>
        </is>
      </c>
      <c r="E11" s="2" t="n">
        <v>1</v>
      </c>
      <c r="F11" s="9" t="n">
        <v>150000</v>
      </c>
      <c r="G11" s="9">
        <f>E11*F11</f>
        <v/>
      </c>
      <c r="H11" s="2" t="n">
        <v>1</v>
      </c>
      <c r="I11" s="2" t="inlineStr"/>
      <c r="J11" s="2" t="inlineStr"/>
    </row>
    <row r="12">
      <c r="A12" s="2" t="inlineStr">
        <is>
          <t>MOB-02</t>
        </is>
      </c>
      <c r="B12" s="2" t="inlineStr">
        <is>
          <t>Mobilization</t>
        </is>
      </c>
      <c r="C12" s="2" t="inlineStr">
        <is>
          <t>Temporary site office/store, basic barricading and safety setup</t>
        </is>
      </c>
      <c r="D12" s="2" t="inlineStr">
        <is>
          <t>LS</t>
        </is>
      </c>
      <c r="E12" s="2" t="n">
        <v>1</v>
      </c>
      <c r="F12" s="9" t="n">
        <v>120000</v>
      </c>
      <c r="G12" s="9">
        <f>E12*F12</f>
        <v/>
      </c>
      <c r="H12" s="2" t="n">
        <v>1</v>
      </c>
      <c r="I12" s="2" t="inlineStr"/>
      <c r="J12" s="2" t="inlineStr"/>
    </row>
    <row r="13">
      <c r="A13" s="2" t="inlineStr">
        <is>
          <t>MOB-03</t>
        </is>
      </c>
      <c r="B13" s="2" t="inlineStr">
        <is>
          <t>Mobilization</t>
        </is>
      </c>
      <c r="C13" s="2" t="inlineStr">
        <is>
          <t>Temporary water/power arrangements for construction activities</t>
        </is>
      </c>
      <c r="D13" s="2" t="inlineStr">
        <is>
          <t>LS</t>
        </is>
      </c>
      <c r="E13" s="2" t="n">
        <v>1</v>
      </c>
      <c r="F13" s="9" t="n">
        <v>100000</v>
      </c>
      <c r="G13" s="9">
        <f>E13*F13</f>
        <v/>
      </c>
      <c r="H13" s="2" t="n">
        <v>1</v>
      </c>
      <c r="I13" s="2" t="inlineStr"/>
      <c r="J13" s="2" t="inlineStr"/>
    </row>
    <row r="14">
      <c r="A14" s="2" t="inlineStr">
        <is>
          <t>MOB-04</t>
        </is>
      </c>
      <c r="B14" s="2" t="inlineStr">
        <is>
          <t>Mobilization</t>
        </is>
      </c>
      <c r="C14" s="2" t="inlineStr">
        <is>
          <t>Demobilization and site clearance after civil works</t>
        </is>
      </c>
      <c r="D14" s="2" t="inlineStr">
        <is>
          <t>LS</t>
        </is>
      </c>
      <c r="E14" s="2" t="n">
        <v>1</v>
      </c>
      <c r="F14" s="9" t="n">
        <v>80000</v>
      </c>
      <c r="G14" s="9">
        <f>E14*F14</f>
        <v/>
      </c>
      <c r="H14" s="2" t="n">
        <v>1</v>
      </c>
      <c r="I14" s="2" t="inlineStr"/>
      <c r="J14" s="2" t="inlineStr"/>
    </row>
    <row r="15">
      <c r="A15" s="2" t="inlineStr">
        <is>
          <t>GRY-01</t>
        </is>
      </c>
      <c r="B15" s="2" t="inlineStr">
        <is>
          <t>Grey Structure</t>
        </is>
      </c>
      <c r="C15" s="2" t="inlineStr">
        <is>
          <t>Site clearance and disposal of construction debris</t>
        </is>
      </c>
      <c r="D15" s="2" t="inlineStr">
        <is>
          <t>LS</t>
        </is>
      </c>
      <c r="E15" s="2" t="n">
        <v>1</v>
      </c>
      <c r="F15" s="9" t="n">
        <v>180</v>
      </c>
      <c r="G15" s="9">
        <f>E15*F15</f>
        <v/>
      </c>
      <c r="H15" s="2" t="n">
        <v>1</v>
      </c>
      <c r="I15" s="2" t="inlineStr"/>
      <c r="J15" s="2" t="inlineStr"/>
    </row>
    <row r="16">
      <c r="A16" s="2" t="inlineStr">
        <is>
          <t>GRY-02</t>
        </is>
      </c>
      <c r="B16" s="2" t="inlineStr">
        <is>
          <t>Grey Structure</t>
        </is>
      </c>
      <c r="C16" s="2" t="inlineStr">
        <is>
          <t>Excavation for foundations including disposal within site</t>
        </is>
      </c>
      <c r="D16" s="2" t="inlineStr">
        <is>
          <t>CFT</t>
        </is>
      </c>
      <c r="E16" s="2" t="n">
        <v>650</v>
      </c>
      <c r="F16" s="9" t="n">
        <v>180</v>
      </c>
      <c r="G16" s="9">
        <f>E16*F16</f>
        <v/>
      </c>
      <c r="H16" s="2" t="n">
        <v>650</v>
      </c>
      <c r="I16" s="2" t="inlineStr"/>
      <c r="J16" s="2" t="inlineStr"/>
    </row>
    <row r="17">
      <c r="A17" s="2" t="inlineStr">
        <is>
          <t>GRY-03</t>
        </is>
      </c>
      <c r="B17" s="2" t="inlineStr">
        <is>
          <t>Grey Structure</t>
        </is>
      </c>
      <c r="C17" s="2" t="inlineStr">
        <is>
          <t>Compacted backfilling under floors and around foundations</t>
        </is>
      </c>
      <c r="D17" s="2" t="inlineStr">
        <is>
          <t>CFT</t>
        </is>
      </c>
      <c r="E17" s="2" t="n">
        <v>500</v>
      </c>
      <c r="F17" s="9" t="n">
        <v>100</v>
      </c>
      <c r="G17" s="9">
        <f>E17*F17</f>
        <v/>
      </c>
      <c r="H17" s="2" t="n">
        <v>500</v>
      </c>
      <c r="I17" s="2" t="inlineStr"/>
      <c r="J17" s="2" t="inlineStr"/>
    </row>
    <row r="18">
      <c r="A18" s="2" t="inlineStr">
        <is>
          <t>GRY-04</t>
        </is>
      </c>
      <c r="B18" s="2" t="inlineStr">
        <is>
          <t>Grey Structure</t>
        </is>
      </c>
      <c r="C18" s="2" t="inlineStr">
        <is>
          <t>PCC 1:4:8 / lean concrete under foundations</t>
        </is>
      </c>
      <c r="D18" s="2" t="inlineStr">
        <is>
          <t>CFT</t>
        </is>
      </c>
      <c r="E18" s="2" t="n">
        <v>95</v>
      </c>
      <c r="F18" s="9" t="n">
        <v>700</v>
      </c>
      <c r="G18" s="9">
        <f>E18*F18</f>
        <v/>
      </c>
      <c r="H18" s="2" t="n">
        <v>95</v>
      </c>
      <c r="I18" s="2" t="inlineStr"/>
      <c r="J18" s="2" t="inlineStr"/>
    </row>
    <row r="19">
      <c r="A19" s="2" t="inlineStr">
        <is>
          <t>GRY-05</t>
        </is>
      </c>
      <c r="B19" s="2" t="inlineStr">
        <is>
          <t>Grey Structure</t>
        </is>
      </c>
      <c r="C19" s="2" t="inlineStr">
        <is>
          <t>Reinforced concrete in footings, columns, beams and slabs</t>
        </is>
      </c>
      <c r="D19" s="2" t="inlineStr">
        <is>
          <t>CFT</t>
        </is>
      </c>
      <c r="E19" s="2" t="n">
        <v>1050</v>
      </c>
      <c r="F19" s="9" t="n">
        <v>1500</v>
      </c>
      <c r="G19" s="9">
        <f>E19*F19</f>
        <v/>
      </c>
      <c r="H19" s="2" t="n">
        <v>1050</v>
      </c>
      <c r="I19" s="2" t="inlineStr"/>
      <c r="J19" s="2" t="inlineStr"/>
    </row>
    <row r="20">
      <c r="A20" s="2" t="inlineStr">
        <is>
          <t>GRY-06</t>
        </is>
      </c>
      <c r="B20" s="2" t="inlineStr">
        <is>
          <t>Grey Structure</t>
        </is>
      </c>
      <c r="C20" s="2" t="inlineStr">
        <is>
          <t>Reinforcement steel for RCC works</t>
        </is>
      </c>
      <c r="D20" s="2" t="inlineStr">
        <is>
          <t>KG</t>
        </is>
      </c>
      <c r="E20" s="2" t="n">
        <v>14500</v>
      </c>
      <c r="F20" s="9" t="n">
        <v>270</v>
      </c>
      <c r="G20" s="9">
        <f>E20*F20</f>
        <v/>
      </c>
      <c r="H20" s="2" t="n">
        <v>14500</v>
      </c>
      <c r="I20" s="2" t="inlineStr"/>
      <c r="J20" s="2" t="inlineStr"/>
    </row>
    <row r="21">
      <c r="A21" s="2" t="inlineStr">
        <is>
          <t>GRY-07</t>
        </is>
      </c>
      <c r="B21" s="2" t="inlineStr">
        <is>
          <t>Grey Structure</t>
        </is>
      </c>
      <c r="C21" s="2" t="inlineStr">
        <is>
          <t>Formwork/shuttering to RCC works</t>
        </is>
      </c>
      <c r="D21" s="2" t="inlineStr">
        <is>
          <t>SFT</t>
        </is>
      </c>
      <c r="E21" s="2" t="n">
        <v>7200</v>
      </c>
      <c r="F21" s="9" t="n">
        <v>450</v>
      </c>
      <c r="G21" s="9">
        <f>E21*F21</f>
        <v/>
      </c>
      <c r="H21" s="2" t="n">
        <v>7200</v>
      </c>
      <c r="I21" s="2" t="inlineStr"/>
      <c r="J21" s="2" t="inlineStr"/>
    </row>
    <row r="22">
      <c r="A22" s="2" t="inlineStr">
        <is>
          <t>GRY-08</t>
        </is>
      </c>
      <c r="B22" s="2" t="inlineStr">
        <is>
          <t>Grey Structure</t>
        </is>
      </c>
      <c r="C22" s="2" t="inlineStr">
        <is>
          <t>Brick/block masonry in foundation and superstructure</t>
        </is>
      </c>
      <c r="D22" s="2" t="inlineStr">
        <is>
          <t>CFT</t>
        </is>
      </c>
      <c r="E22" s="2" t="n">
        <v>3900</v>
      </c>
      <c r="F22" s="9" t="n">
        <v>330</v>
      </c>
      <c r="G22" s="9">
        <f>E22*F22</f>
        <v/>
      </c>
      <c r="H22" s="2" t="n">
        <v>3900</v>
      </c>
      <c r="I22" s="2" t="inlineStr"/>
      <c r="J22" s="2" t="inlineStr"/>
    </row>
    <row r="23">
      <c r="A23" s="2" t="inlineStr">
        <is>
          <t>GRY-09</t>
        </is>
      </c>
      <c r="B23" s="2" t="inlineStr">
        <is>
          <t>Grey Structure</t>
        </is>
      </c>
      <c r="C23" s="2" t="inlineStr">
        <is>
          <t>Damp proof course / bituminous treatment at required locations</t>
        </is>
      </c>
      <c r="D23" s="2" t="inlineStr">
        <is>
          <t>RFT</t>
        </is>
      </c>
      <c r="E23" s="2" t="n">
        <v>420</v>
      </c>
      <c r="F23" s="9" t="n">
        <v>110</v>
      </c>
      <c r="G23" s="9">
        <f>E23*F23</f>
        <v/>
      </c>
      <c r="H23" s="2" t="n">
        <v>420</v>
      </c>
      <c r="I23" s="2" t="inlineStr"/>
      <c r="J23" s="2" t="inlineStr"/>
    </row>
    <row r="24">
      <c r="A24" s="2" t="inlineStr">
        <is>
          <t>GRY-10</t>
        </is>
      </c>
      <c r="B24" s="2" t="inlineStr">
        <is>
          <t>Grey Structure</t>
        </is>
      </c>
      <c r="C24" s="2" t="inlineStr">
        <is>
          <t>Internal and external cement plaster</t>
        </is>
      </c>
      <c r="D24" s="2" t="inlineStr">
        <is>
          <t>SFT</t>
        </is>
      </c>
      <c r="E24" s="2" t="n">
        <v>18500</v>
      </c>
      <c r="F24" s="9" t="n">
        <v>110</v>
      </c>
      <c r="G24" s="9">
        <f>E24*F24</f>
        <v/>
      </c>
      <c r="H24" s="2" t="n">
        <v>18500</v>
      </c>
      <c r="I24" s="2" t="inlineStr"/>
      <c r="J24" s="2" t="inlineStr"/>
    </row>
    <row r="25">
      <c r="A25" s="2" t="inlineStr">
        <is>
          <t>GRY-11</t>
        </is>
      </c>
      <c r="B25" s="2" t="inlineStr">
        <is>
          <t>Grey Structure</t>
        </is>
      </c>
      <c r="C25" s="2" t="inlineStr">
        <is>
          <t>Roof waterproofing treatment including protective screed</t>
        </is>
      </c>
      <c r="D25" s="2" t="inlineStr">
        <is>
          <t>SFT</t>
        </is>
      </c>
      <c r="E25" s="2" t="n">
        <v>2250</v>
      </c>
      <c r="F25" s="9" t="n">
        <v>220</v>
      </c>
      <c r="G25" s="9">
        <f>E25*F25</f>
        <v/>
      </c>
      <c r="H25" s="2" t="n">
        <v>2250</v>
      </c>
      <c r="I25" s="2" t="inlineStr"/>
      <c r="J25" s="2" t="inlineStr"/>
    </row>
    <row r="26">
      <c r="A26" s="2" t="inlineStr">
        <is>
          <t>GRY-12</t>
        </is>
      </c>
      <c r="B26" s="2" t="inlineStr">
        <is>
          <t>Grey Structure</t>
        </is>
      </c>
      <c r="C26" s="2" t="inlineStr">
        <is>
          <t>Roof/floor screed and slope formation</t>
        </is>
      </c>
      <c r="D26" s="2" t="inlineStr">
        <is>
          <t>SFT</t>
        </is>
      </c>
      <c r="E26" s="2" t="n">
        <v>2250</v>
      </c>
      <c r="F26" s="9" t="n">
        <v>110</v>
      </c>
      <c r="G26" s="9">
        <f>E26*F26</f>
        <v/>
      </c>
      <c r="H26" s="2" t="n">
        <v>2250</v>
      </c>
      <c r="I26" s="2" t="inlineStr"/>
      <c r="J26" s="2" t="inlineStr"/>
    </row>
    <row r="27">
      <c r="A27" s="2" t="inlineStr">
        <is>
          <t>GRY-13</t>
        </is>
      </c>
      <c r="B27" s="2" t="inlineStr">
        <is>
          <t>Grey Structure</t>
        </is>
      </c>
      <c r="C27" s="2" t="inlineStr">
        <is>
          <t>RCC staircase including reinforcement and formwork</t>
        </is>
      </c>
      <c r="D27" s="2" t="inlineStr">
        <is>
          <t>LS</t>
        </is>
      </c>
      <c r="E27" s="2" t="n">
        <v>1</v>
      </c>
      <c r="F27" s="9" t="n">
        <v>450000</v>
      </c>
      <c r="G27" s="9">
        <f>E27*F27</f>
        <v/>
      </c>
      <c r="H27" s="2" t="n">
        <v>1</v>
      </c>
      <c r="I27" s="2" t="inlineStr"/>
      <c r="J27" s="2" t="inlineStr"/>
    </row>
    <row r="28">
      <c r="A28" s="2" t="inlineStr">
        <is>
          <t>GRY-14</t>
        </is>
      </c>
      <c r="B28" s="2" t="inlineStr">
        <is>
          <t>Grey Structure</t>
        </is>
      </c>
      <c r="C28" s="2" t="inlineStr">
        <is>
          <t>Parapet walls and coping</t>
        </is>
      </c>
      <c r="D28" s="2" t="inlineStr">
        <is>
          <t>RFT</t>
        </is>
      </c>
      <c r="E28" s="2" t="n">
        <v>220</v>
      </c>
      <c r="F28" s="9" t="n">
        <v>350</v>
      </c>
      <c r="G28" s="9">
        <f>E28*F28</f>
        <v/>
      </c>
      <c r="H28" s="2" t="n">
        <v>220</v>
      </c>
      <c r="I28" s="2" t="inlineStr"/>
      <c r="J28" s="2" t="inlineStr"/>
    </row>
    <row r="29">
      <c r="A29" s="2" t="inlineStr">
        <is>
          <t>FIN-01</t>
        </is>
      </c>
      <c r="B29" s="2" t="inlineStr">
        <is>
          <t>Finishing</t>
        </is>
      </c>
      <c r="C29" s="2" t="inlineStr">
        <is>
          <t>Floor tiles / porcelain tiles including bedding and laying</t>
        </is>
      </c>
      <c r="D29" s="2" t="inlineStr">
        <is>
          <t>SFT</t>
        </is>
      </c>
      <c r="E29" s="2" t="n">
        <v>1850</v>
      </c>
      <c r="F29" s="9" t="n">
        <v>400</v>
      </c>
      <c r="G29" s="9">
        <f>E29*F29</f>
        <v/>
      </c>
      <c r="H29" s="2" t="n">
        <v>1850</v>
      </c>
      <c r="I29" s="2" t="inlineStr"/>
      <c r="J29" s="2" t="inlineStr"/>
    </row>
    <row r="30">
      <c r="A30" s="2" t="inlineStr">
        <is>
          <t>FIN-02</t>
        </is>
      </c>
      <c r="B30" s="2" t="inlineStr">
        <is>
          <t>Finishing</t>
        </is>
      </c>
      <c r="C30" s="2" t="inlineStr">
        <is>
          <t>Wall tiles to bathrooms and kitchen areas</t>
        </is>
      </c>
      <c r="D30" s="2" t="inlineStr">
        <is>
          <t>SFT</t>
        </is>
      </c>
      <c r="E30" s="2" t="n">
        <v>1350</v>
      </c>
      <c r="F30" s="9" t="n">
        <v>420</v>
      </c>
      <c r="G30" s="9">
        <f>E30*F30</f>
        <v/>
      </c>
      <c r="H30" s="2" t="n">
        <v>1350</v>
      </c>
      <c r="I30" s="2" t="inlineStr"/>
      <c r="J30" s="2" t="inlineStr"/>
    </row>
    <row r="31">
      <c r="A31" s="2" t="inlineStr">
        <is>
          <t>FIN-03</t>
        </is>
      </c>
      <c r="B31" s="2" t="inlineStr">
        <is>
          <t>Finishing</t>
        </is>
      </c>
      <c r="C31" s="2" t="inlineStr">
        <is>
          <t>Internal wall putty / skim coat</t>
        </is>
      </c>
      <c r="D31" s="2" t="inlineStr">
        <is>
          <t>SFT</t>
        </is>
      </c>
      <c r="E31" s="2" t="n">
        <v>16000</v>
      </c>
      <c r="F31" s="9" t="n">
        <v>90</v>
      </c>
      <c r="G31" s="9">
        <f>E31*F31</f>
        <v/>
      </c>
      <c r="H31" s="2" t="n">
        <v>16000</v>
      </c>
      <c r="I31" s="2" t="inlineStr"/>
      <c r="J31" s="2" t="inlineStr"/>
    </row>
    <row r="32">
      <c r="A32" s="2" t="inlineStr">
        <is>
          <t>FIN-04</t>
        </is>
      </c>
      <c r="B32" s="2" t="inlineStr">
        <is>
          <t>Finishing</t>
        </is>
      </c>
      <c r="C32" s="2" t="inlineStr">
        <is>
          <t>Internal emulsion paint system</t>
        </is>
      </c>
      <c r="D32" s="2" t="inlineStr">
        <is>
          <t>SFT</t>
        </is>
      </c>
      <c r="E32" s="2" t="n">
        <v>16000</v>
      </c>
      <c r="F32" s="9" t="n">
        <v>120</v>
      </c>
      <c r="G32" s="9">
        <f>E32*F32</f>
        <v/>
      </c>
      <c r="H32" s="2" t="n">
        <v>16000</v>
      </c>
      <c r="I32" s="2" t="inlineStr"/>
      <c r="J32" s="2" t="inlineStr"/>
    </row>
    <row r="33">
      <c r="A33" s="2" t="inlineStr">
        <is>
          <t>FIN-05</t>
        </is>
      </c>
      <c r="B33" s="2" t="inlineStr">
        <is>
          <t>Finishing</t>
        </is>
      </c>
      <c r="C33" s="2" t="inlineStr">
        <is>
          <t>External weather-resistant paint system</t>
        </is>
      </c>
      <c r="D33" s="2" t="inlineStr">
        <is>
          <t>SFT</t>
        </is>
      </c>
      <c r="E33" s="2" t="n">
        <v>5200</v>
      </c>
      <c r="F33" s="9" t="n">
        <v>150</v>
      </c>
      <c r="G33" s="9">
        <f>E33*F33</f>
        <v/>
      </c>
      <c r="H33" s="2" t="n">
        <v>5200</v>
      </c>
      <c r="I33" s="2" t="inlineStr"/>
      <c r="J33" s="2" t="inlineStr"/>
    </row>
    <row r="34">
      <c r="A34" s="2" t="inlineStr">
        <is>
          <t>FIN-06</t>
        </is>
      </c>
      <c r="B34" s="2" t="inlineStr">
        <is>
          <t>Finishing</t>
        </is>
      </c>
      <c r="C34" s="2" t="inlineStr">
        <is>
          <t>Ceiling preparation and paint finish</t>
        </is>
      </c>
      <c r="D34" s="2" t="inlineStr">
        <is>
          <t>SFT</t>
        </is>
      </c>
      <c r="E34" s="2" t="n">
        <v>1900</v>
      </c>
      <c r="F34" s="9" t="n">
        <v>110</v>
      </c>
      <c r="G34" s="9">
        <f>E34*F34</f>
        <v/>
      </c>
      <c r="H34" s="2" t="n">
        <v>1900</v>
      </c>
      <c r="I34" s="2" t="inlineStr"/>
      <c r="J34" s="2" t="inlineStr"/>
    </row>
    <row r="35">
      <c r="A35" s="2" t="inlineStr">
        <is>
          <t>FIN-07</t>
        </is>
      </c>
      <c r="B35" s="2" t="inlineStr">
        <is>
          <t>Finishing</t>
        </is>
      </c>
      <c r="C35" s="2" t="inlineStr">
        <is>
          <t>Internal solid-core / engineered timber doors including frames</t>
        </is>
      </c>
      <c r="D35" s="2" t="inlineStr">
        <is>
          <t>NOS</t>
        </is>
      </c>
      <c r="E35" s="2" t="n">
        <v>18</v>
      </c>
      <c r="F35" s="9" t="n">
        <v>45000</v>
      </c>
      <c r="G35" s="9">
        <f>E35*F35</f>
        <v/>
      </c>
      <c r="H35" s="2" t="n">
        <v>18</v>
      </c>
      <c r="I35" s="2" t="inlineStr"/>
      <c r="J35" s="2" t="inlineStr"/>
    </row>
    <row r="36">
      <c r="A36" s="2" t="inlineStr">
        <is>
          <t>FIN-08</t>
        </is>
      </c>
      <c r="B36" s="2" t="inlineStr">
        <is>
          <t>Finishing</t>
        </is>
      </c>
      <c r="C36" s="2" t="inlineStr">
        <is>
          <t>External main door including frame and hardware</t>
        </is>
      </c>
      <c r="D36" s="2" t="inlineStr">
        <is>
          <t>NOS</t>
        </is>
      </c>
      <c r="E36" s="2" t="n">
        <v>1</v>
      </c>
      <c r="F36" s="9" t="n">
        <v>125000</v>
      </c>
      <c r="G36" s="9">
        <f>E36*F36</f>
        <v/>
      </c>
      <c r="H36" s="2" t="n">
        <v>1</v>
      </c>
      <c r="I36" s="2" t="inlineStr"/>
      <c r="J36" s="2" t="inlineStr"/>
    </row>
    <row r="37">
      <c r="A37" s="2" t="inlineStr">
        <is>
          <t>FIN-09</t>
        </is>
      </c>
      <c r="B37" s="2" t="inlineStr">
        <is>
          <t>Finishing</t>
        </is>
      </c>
      <c r="C37" s="2" t="inlineStr">
        <is>
          <t>Aluminium/uPVC windows and glazed openings</t>
        </is>
      </c>
      <c r="D37" s="2" t="inlineStr">
        <is>
          <t>SFT</t>
        </is>
      </c>
      <c r="E37" s="2" t="n">
        <v>420</v>
      </c>
      <c r="F37" s="9" t="n">
        <v>1600</v>
      </c>
      <c r="G37" s="9">
        <f>E37*F37</f>
        <v/>
      </c>
      <c r="H37" s="2" t="n">
        <v>420</v>
      </c>
      <c r="I37" s="2" t="inlineStr"/>
      <c r="J37" s="2" t="inlineStr"/>
    </row>
    <row r="38">
      <c r="A38" s="2" t="inlineStr">
        <is>
          <t>FIN-10</t>
        </is>
      </c>
      <c r="B38" s="2" t="inlineStr">
        <is>
          <t>Finishing</t>
        </is>
      </c>
      <c r="C38" s="2" t="inlineStr">
        <is>
          <t>Staircase stone/tile finish including risers and treads</t>
        </is>
      </c>
      <c r="D38" s="2" t="inlineStr">
        <is>
          <t>SFT</t>
        </is>
      </c>
      <c r="E38" s="2" t="n">
        <v>360</v>
      </c>
      <c r="F38" s="9" t="n">
        <v>500</v>
      </c>
      <c r="G38" s="9">
        <f>E38*F38</f>
        <v/>
      </c>
      <c r="H38" s="2" t="n">
        <v>360</v>
      </c>
      <c r="I38" s="2" t="inlineStr"/>
      <c r="J38" s="2" t="inlineStr"/>
    </row>
    <row r="39">
      <c r="A39" s="2" t="inlineStr">
        <is>
          <t>FIN-11</t>
        </is>
      </c>
      <c r="B39" s="2" t="inlineStr">
        <is>
          <t>Finishing</t>
        </is>
      </c>
      <c r="C39" s="2" t="inlineStr">
        <is>
          <t>Kitchen civil finish: counter base, countertop and tiled backsplash</t>
        </is>
      </c>
      <c r="D39" s="2" t="inlineStr">
        <is>
          <t>LS</t>
        </is>
      </c>
      <c r="E39" s="2" t="n">
        <v>1</v>
      </c>
      <c r="F39" s="9" t="n">
        <v>400000</v>
      </c>
      <c r="G39" s="9">
        <f>E39*F39</f>
        <v/>
      </c>
      <c r="H39" s="2" t="n">
        <v>1</v>
      </c>
      <c r="I39" s="2" t="inlineStr"/>
      <c r="J39" s="2" t="inlineStr"/>
    </row>
    <row r="40">
      <c r="A40" s="2" t="inlineStr">
        <is>
          <t>FIN-12</t>
        </is>
      </c>
      <c r="B40" s="2" t="inlineStr">
        <is>
          <t>Finishing</t>
        </is>
      </c>
      <c r="C40" s="2" t="inlineStr">
        <is>
          <t>Bathroom civil finish: vanity counter/top and associated stonework</t>
        </is>
      </c>
      <c r="D40" s="2" t="inlineStr">
        <is>
          <t>LS</t>
        </is>
      </c>
      <c r="E40" s="2" t="n">
        <v>4</v>
      </c>
      <c r="F40" s="9" t="n">
        <v>175000</v>
      </c>
      <c r="G40" s="9">
        <f>E40*F40</f>
        <v/>
      </c>
      <c r="H40" s="2" t="n">
        <v>4</v>
      </c>
      <c r="I40" s="2" t="inlineStr"/>
      <c r="J40" s="2" t="inlineStr"/>
    </row>
    <row r="41">
      <c r="A41" s="2" t="inlineStr">
        <is>
          <t>FIN-13</t>
        </is>
      </c>
      <c r="B41" s="2" t="inlineStr">
        <is>
          <t>Finishing</t>
        </is>
      </c>
      <c r="C41" s="2" t="inlineStr">
        <is>
          <t>External paving / porch / entrance civil finishes</t>
        </is>
      </c>
      <c r="D41" s="2" t="inlineStr">
        <is>
          <t>SFT</t>
        </is>
      </c>
      <c r="E41" s="2" t="n">
        <v>900</v>
      </c>
      <c r="F41" s="9" t="n">
        <v>350</v>
      </c>
      <c r="G41" s="9">
        <f>E41*F41</f>
        <v/>
      </c>
      <c r="H41" s="2" t="n">
        <v>900</v>
      </c>
      <c r="I41" s="2" t="inlineStr"/>
      <c r="J41" s="2" t="inlineStr"/>
    </row>
    <row r="42">
      <c r="A42" s="2" t="inlineStr">
        <is>
          <t>FIN-14</t>
        </is>
      </c>
      <c r="B42" s="2" t="inlineStr">
        <is>
          <t>Finishing</t>
        </is>
      </c>
      <c r="C42" s="2" t="inlineStr">
        <is>
          <t>Boundary wall plaster and paint / finish</t>
        </is>
      </c>
      <c r="D42" s="2" t="inlineStr">
        <is>
          <t>SFT</t>
        </is>
      </c>
      <c r="E42" s="2" t="n">
        <v>1600</v>
      </c>
      <c r="F42" s="9" t="n">
        <v>150</v>
      </c>
      <c r="G42" s="9">
        <f>E42*F42</f>
        <v/>
      </c>
      <c r="H42" s="2" t="n">
        <v>1600</v>
      </c>
      <c r="I42" s="2" t="inlineStr"/>
      <c r="J42" s="2" t="inlineStr"/>
    </row>
    <row r="43">
      <c r="A43" s="2" t="n"/>
      <c r="B43" s="2" t="n"/>
      <c r="C43" s="5" t="inlineStr">
        <is>
          <t>TOTAL</t>
        </is>
      </c>
      <c r="D43" s="2" t="n"/>
      <c r="E43" s="2" t="n"/>
      <c r="F43" s="2" t="n"/>
      <c r="G43" s="5">
        <f>SUM(G11:G42)</f>
        <v/>
      </c>
      <c r="H43" s="2" t="n"/>
      <c r="I43" s="2" t="n"/>
      <c r="J43" s="2" t="n"/>
    </row>
  </sheetData>
  <autoFilter ref="A10:J42"/>
  <mergeCells count="3">
    <mergeCell ref="A1:J1"/>
    <mergeCell ref="F9:G9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58" customWidth="1" min="3" max="3"/>
    <col width="10" customWidth="1" min="4" max="4"/>
    <col width="14" customWidth="1" min="5" max="5"/>
    <col width="18" customWidth="1" min="6" max="6"/>
    <col width="18" customWidth="1" min="7" max="7"/>
    <col width="16" customWidth="1" min="8" max="8"/>
    <col width="20" customWidth="1" min="9" max="9"/>
    <col width="28" customWidth="1" min="10" max="10"/>
  </cols>
  <sheetData>
    <row r="1">
      <c r="A1" s="4" t="inlineStr">
        <is>
          <t>Section</t>
        </is>
      </c>
      <c r="B1" s="4" t="inlineStr">
        <is>
          <t>Amount (PKR)</t>
        </is>
      </c>
    </row>
    <row r="2">
      <c r="A2" s="2" t="inlineStr">
        <is>
          <t>Mobilization</t>
        </is>
      </c>
      <c r="B2" s="2">
        <f>SUMIF(BOQ!B11:B42,A2,BOQ!G11:G42)</f>
        <v/>
      </c>
    </row>
    <row r="3">
      <c r="A3" s="2" t="inlineStr">
        <is>
          <t>Grey Structure</t>
        </is>
      </c>
      <c r="B3" s="2">
        <f>SUMIF(BOQ!B11:B42,A3,BOQ!G11:G42)</f>
        <v/>
      </c>
    </row>
    <row r="4">
      <c r="A4" s="2" t="inlineStr">
        <is>
          <t>Finishing</t>
        </is>
      </c>
      <c r="B4" s="2">
        <f>SUMIF(BOQ!B11:B42,A4,BOQ!G11:G42)</f>
        <v/>
      </c>
    </row>
    <row r="5">
      <c r="A5" s="5" t="inlineStr">
        <is>
          <t>TOTAL</t>
        </is>
      </c>
      <c r="B5" s="5">
        <f>SUM(B2:B4)</f>
        <v/>
      </c>
    </row>
    <row r="6">
      <c r="A6" s="2" t="n"/>
      <c r="B6" s="2" t="n"/>
    </row>
    <row r="7">
      <c r="A7" s="2" t="inlineStr">
        <is>
          <t>Note</t>
        </is>
      </c>
      <c r="B7" s="2" t="inlineStr">
        <is>
          <t>Civil works only. MEP, loose furniture, appliances and professional fees are excluded.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58" customWidth="1" min="3" max="3"/>
    <col width="10" customWidth="1" min="4" max="4"/>
    <col width="14" customWidth="1" min="5" max="5"/>
    <col width="18" customWidth="1" min="6" max="6"/>
    <col width="18" customWidth="1" min="7" max="7"/>
    <col width="16" customWidth="1" min="8" max="8"/>
    <col width="20" customWidth="1" min="9" max="9"/>
    <col width="28" customWidth="1" min="10" max="10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2" t="inlineStr">
        <is>
          <t>House type</t>
        </is>
      </c>
      <c r="B2" s="2" t="inlineStr">
        <is>
          <t>Double storey 5 Marla</t>
        </is>
      </c>
    </row>
    <row r="3">
      <c r="A3" s="2" t="inlineStr">
        <is>
          <t>Plot area (sq ft)</t>
        </is>
      </c>
      <c r="B3" s="2" t="n">
        <v>1125</v>
      </c>
    </row>
    <row r="4">
      <c r="A4" s="2" t="inlineStr">
        <is>
          <t>Assumed total covered area (sq ft)</t>
        </is>
      </c>
      <c r="B4" s="2" t="n">
        <v>2250</v>
      </c>
    </row>
    <row r="5">
      <c r="A5" s="2" t="inlineStr">
        <is>
          <t>Storeys</t>
        </is>
      </c>
      <c r="B5" s="2" t="n">
        <v>2</v>
      </c>
    </row>
    <row r="6">
      <c r="A6" s="2" t="inlineStr">
        <is>
          <t>BOQ scope</t>
        </is>
      </c>
      <c r="B6" s="2" t="inlineStr">
        <is>
          <t>Mobilization + Grey Structure + Finishing only</t>
        </is>
      </c>
    </row>
    <row r="7">
      <c r="A7" s="2" t="inlineStr">
        <is>
          <t>Excluded</t>
        </is>
      </c>
      <c r="B7" s="2" t="inlineStr">
        <is>
          <t>Electrical, plumbing, HVAC, fire fighting, ELV, landscaping, loose furniture, appliances</t>
        </is>
      </c>
    </row>
    <row r="8">
      <c r="A8" s="2" t="inlineStr">
        <is>
          <t>Important</t>
        </is>
      </c>
      <c r="B8" s="2" t="inlineStr">
        <is>
          <t>Quantities are illustrative and must be validated against architectural/structural drawings and specifications.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16" customWidth="1" min="1" max="1"/>
    <col width="62" customWidth="1" min="2" max="2"/>
    <col width="12" customWidth="1" min="3" max="3"/>
    <col width="26" customWidth="1" min="4" max="4"/>
  </cols>
  <sheetData>
    <row r="1">
      <c r="A1" s="10" t="inlineStr">
        <is>
          <t>RAWALPINDI BOQ RATE BASIS — SEPTEMBER 2026</t>
        </is>
      </c>
      <c r="B1" s="11" t="n"/>
      <c r="C1" s="11" t="n"/>
      <c r="D1" s="11" t="n"/>
    </row>
    <row r="2">
      <c r="A2" s="11" t="inlineStr">
        <is>
          <t>Rates are indicative planning/tender rates in PKR. Verify with current supplier/contractor quotations before award.</t>
        </is>
      </c>
      <c r="B2" s="11" t="n"/>
      <c r="C2" s="11" t="n"/>
      <c r="D2" s="11" t="n"/>
    </row>
    <row r="3">
      <c r="A3" s="11" t="n"/>
      <c r="B3" s="11" t="n"/>
      <c r="C3" s="11" t="n"/>
      <c r="D3" s="11" t="n"/>
    </row>
    <row r="4">
      <c r="A4" s="12" t="inlineStr">
        <is>
          <t>Reference market inputs</t>
        </is>
      </c>
      <c r="B4" s="12" t="inlineStr">
        <is>
          <t>Published rate / range</t>
        </is>
      </c>
      <c r="C4" s="12" t="inlineStr">
        <is>
          <t>Basis used</t>
        </is>
      </c>
      <c r="D4" s="12" t="n"/>
    </row>
    <row r="5">
      <c r="A5" s="11" t="inlineStr">
        <is>
          <t>Cement 50kg bag</t>
        </is>
      </c>
      <c r="B5" s="11" t="inlineStr">
        <is>
          <t>PKR 1,150–1,275 (some published Sep sources); other Aug/Sep sources ~1,400–1,560</t>
        </is>
      </c>
      <c r="C5" s="11" t="inlineStr">
        <is>
          <t>Composite allowance within current RWP market</t>
        </is>
      </c>
      <c r="D5" s="11" t="n"/>
    </row>
    <row r="6">
      <c r="A6" s="11" t="inlineStr">
        <is>
          <t>Grade 60 steel</t>
        </is>
      </c>
      <c r="B6" s="11" t="inlineStr">
        <is>
          <t>Approx. PKR 254–285/kg in 2026 published sources</t>
        </is>
      </c>
      <c r="C6" s="11" t="inlineStr">
        <is>
          <t>PKR 270/kg</t>
        </is>
      </c>
      <c r="D6" s="11" t="n"/>
    </row>
    <row r="7">
      <c r="A7" s="11" t="inlineStr">
        <is>
          <t>A-class red brick</t>
        </is>
      </c>
      <c r="B7" s="11" t="inlineStr">
        <is>
          <t>Approx. PKR 14–22/piece / PKR 15,000–22,000 per 1,000</t>
        </is>
      </c>
      <c r="C7" s="11" t="inlineStr">
        <is>
          <t>Included in masonry composite</t>
        </is>
      </c>
      <c r="D7" s="11" t="n"/>
    </row>
    <row r="8">
      <c r="A8" s="11" t="inlineStr">
        <is>
          <t>Sand</t>
        </is>
      </c>
      <c r="B8" s="11" t="inlineStr">
        <is>
          <t>Approx. PKR 45–90/cft in published 2026 sources</t>
        </is>
      </c>
      <c r="C8" s="11" t="inlineStr">
        <is>
          <t>Included in concrete/plaster composites</t>
        </is>
      </c>
      <c r="D8" s="11" t="n"/>
    </row>
    <row r="9">
      <c r="A9" s="11" t="inlineStr">
        <is>
          <t>Crush</t>
        </is>
      </c>
      <c r="B9" s="11" t="inlineStr">
        <is>
          <t>Approx. PKR 110–160/cft in published 2026 sources</t>
        </is>
      </c>
      <c r="C9" s="11" t="inlineStr">
        <is>
          <t>Included in concrete composite</t>
        </is>
      </c>
      <c r="D9" s="11" t="n"/>
    </row>
    <row r="10">
      <c r="A10" s="12" t="inlineStr">
        <is>
          <t>Web references used for market context:</t>
        </is>
      </c>
      <c r="B10" s="13" t="inlineStr">
        <is>
          <t>Mechanics4U Rawalpindi material rates (Sep 2026); Silver City 5-Marla RWP (Aug 2026); Blackfire 2026 calculator inputs; Al Sadat 2026 material/labour inputs.</t>
        </is>
      </c>
    </row>
    <row r="11">
      <c r="A11" s="11" t="n"/>
      <c r="B11" s="11" t="n"/>
      <c r="C11" s="11" t="n"/>
      <c r="D11" s="11" t="n"/>
    </row>
    <row r="12">
      <c r="A12" s="12" t="inlineStr">
        <is>
          <t>Item Code</t>
        </is>
      </c>
      <c r="B12" s="12" t="inlineStr">
        <is>
          <t>Description</t>
        </is>
      </c>
      <c r="C12" s="12" t="inlineStr">
        <is>
          <t>Unit</t>
        </is>
      </c>
      <c r="D12" s="12" t="inlineStr">
        <is>
          <t>Rawalpindi Unit Rate (PKR)</t>
        </is>
      </c>
    </row>
    <row r="13">
      <c r="A13" s="11" t="inlineStr">
        <is>
          <t>MOB-01</t>
        </is>
      </c>
      <c r="B13" s="11" t="inlineStr">
        <is>
          <t>Mobilization, site establishment and initial setting out</t>
        </is>
      </c>
      <c r="C13" s="11" t="inlineStr">
        <is>
          <t>LS</t>
        </is>
      </c>
      <c r="D13" s="14" t="n">
        <v>150000</v>
      </c>
    </row>
    <row r="14">
      <c r="A14" s="11" t="inlineStr">
        <is>
          <t>MOB-02</t>
        </is>
      </c>
      <c r="B14" s="11" t="inlineStr">
        <is>
          <t>Temporary site office/store, basic barricading and safety setup</t>
        </is>
      </c>
      <c r="C14" s="11" t="inlineStr">
        <is>
          <t>LS</t>
        </is>
      </c>
      <c r="D14" s="14" t="n">
        <v>120000</v>
      </c>
    </row>
    <row r="15">
      <c r="A15" s="11" t="inlineStr">
        <is>
          <t>MOB-03</t>
        </is>
      </c>
      <c r="B15" s="11" t="inlineStr">
        <is>
          <t>Temporary water/power arrangements for construction activities</t>
        </is>
      </c>
      <c r="C15" s="11" t="inlineStr">
        <is>
          <t>LS</t>
        </is>
      </c>
      <c r="D15" s="14" t="n">
        <v>100000</v>
      </c>
    </row>
    <row r="16">
      <c r="A16" s="11" t="inlineStr">
        <is>
          <t>MOB-04</t>
        </is>
      </c>
      <c r="B16" s="11" t="inlineStr">
        <is>
          <t>Demobilization and site clearance after civil works</t>
        </is>
      </c>
      <c r="C16" s="11" t="inlineStr">
        <is>
          <t>LS</t>
        </is>
      </c>
      <c r="D16" s="14" t="n">
        <v>80000</v>
      </c>
    </row>
    <row r="17">
      <c r="A17" s="11" t="inlineStr">
        <is>
          <t>GRY-01</t>
        </is>
      </c>
      <c r="B17" s="11" t="inlineStr">
        <is>
          <t>Site clearance and disposal of construction debris</t>
        </is>
      </c>
      <c r="C17" s="11" t="inlineStr">
        <is>
          <t>LS</t>
        </is>
      </c>
      <c r="D17" s="14" t="n">
        <v>180</v>
      </c>
    </row>
    <row r="18">
      <c r="A18" s="11" t="inlineStr">
        <is>
          <t>GRY-02</t>
        </is>
      </c>
      <c r="B18" s="11" t="inlineStr">
        <is>
          <t>Excavation for foundations including disposal within site</t>
        </is>
      </c>
      <c r="C18" s="11" t="inlineStr">
        <is>
          <t>CFT</t>
        </is>
      </c>
      <c r="D18" s="14" t="n">
        <v>180</v>
      </c>
    </row>
    <row r="19">
      <c r="A19" s="11" t="inlineStr">
        <is>
          <t>GRY-03</t>
        </is>
      </c>
      <c r="B19" s="11" t="inlineStr">
        <is>
          <t>Compacted backfilling under floors and around foundations</t>
        </is>
      </c>
      <c r="C19" s="11" t="inlineStr">
        <is>
          <t>CFT</t>
        </is>
      </c>
      <c r="D19" s="14" t="n">
        <v>100</v>
      </c>
    </row>
    <row r="20">
      <c r="A20" s="11" t="inlineStr">
        <is>
          <t>GRY-04</t>
        </is>
      </c>
      <c r="B20" s="11" t="inlineStr">
        <is>
          <t>PCC 1:4:8 / lean concrete under foundations</t>
        </is>
      </c>
      <c r="C20" s="11" t="inlineStr">
        <is>
          <t>CFT</t>
        </is>
      </c>
      <c r="D20" s="14" t="n">
        <v>700</v>
      </c>
    </row>
    <row r="21">
      <c r="A21" s="11" t="inlineStr">
        <is>
          <t>GRY-05</t>
        </is>
      </c>
      <c r="B21" s="11" t="inlineStr">
        <is>
          <t>Reinforced concrete in footings, columns, beams and slabs</t>
        </is>
      </c>
      <c r="C21" s="11" t="inlineStr">
        <is>
          <t>CFT</t>
        </is>
      </c>
      <c r="D21" s="14" t="n">
        <v>1500</v>
      </c>
    </row>
    <row r="22">
      <c r="A22" s="11" t="inlineStr">
        <is>
          <t>GRY-06</t>
        </is>
      </c>
      <c r="B22" s="11" t="inlineStr">
        <is>
          <t>Reinforcement steel for RCC works</t>
        </is>
      </c>
      <c r="C22" s="11" t="inlineStr">
        <is>
          <t>KG</t>
        </is>
      </c>
      <c r="D22" s="14" t="n">
        <v>270</v>
      </c>
    </row>
    <row r="23">
      <c r="A23" s="11" t="inlineStr">
        <is>
          <t>GRY-07</t>
        </is>
      </c>
      <c r="B23" s="11" t="inlineStr">
        <is>
          <t>Formwork/shuttering to RCC works</t>
        </is>
      </c>
      <c r="C23" s="11" t="inlineStr">
        <is>
          <t>SFT</t>
        </is>
      </c>
      <c r="D23" s="14" t="n">
        <v>450</v>
      </c>
    </row>
    <row r="24">
      <c r="A24" s="11" t="inlineStr">
        <is>
          <t>GRY-08</t>
        </is>
      </c>
      <c r="B24" s="11" t="inlineStr">
        <is>
          <t>Brick/block masonry in foundation and superstructure</t>
        </is>
      </c>
      <c r="C24" s="11" t="inlineStr">
        <is>
          <t>CFT</t>
        </is>
      </c>
      <c r="D24" s="14" t="n">
        <v>330</v>
      </c>
    </row>
    <row r="25">
      <c r="A25" s="11" t="inlineStr">
        <is>
          <t>GRY-09</t>
        </is>
      </c>
      <c r="B25" s="11" t="inlineStr">
        <is>
          <t>Damp proof course / bituminous treatment at required locations</t>
        </is>
      </c>
      <c r="C25" s="11" t="inlineStr">
        <is>
          <t>RFT</t>
        </is>
      </c>
      <c r="D25" s="14" t="n">
        <v>110</v>
      </c>
    </row>
    <row r="26">
      <c r="A26" s="11" t="inlineStr">
        <is>
          <t>GRY-10</t>
        </is>
      </c>
      <c r="B26" s="11" t="inlineStr">
        <is>
          <t>Internal and external cement plaster</t>
        </is>
      </c>
      <c r="C26" s="11" t="inlineStr">
        <is>
          <t>SFT</t>
        </is>
      </c>
      <c r="D26" s="14" t="n">
        <v>110</v>
      </c>
    </row>
    <row r="27">
      <c r="A27" s="11" t="inlineStr">
        <is>
          <t>GRY-11</t>
        </is>
      </c>
      <c r="B27" s="11" t="inlineStr">
        <is>
          <t>Roof waterproofing treatment including protective screed</t>
        </is>
      </c>
      <c r="C27" s="11" t="inlineStr">
        <is>
          <t>SFT</t>
        </is>
      </c>
      <c r="D27" s="14" t="n">
        <v>220</v>
      </c>
    </row>
    <row r="28">
      <c r="A28" s="11" t="inlineStr">
        <is>
          <t>GRY-12</t>
        </is>
      </c>
      <c r="B28" s="11" t="inlineStr">
        <is>
          <t>Roof/floor screed and slope formation</t>
        </is>
      </c>
      <c r="C28" s="11" t="inlineStr">
        <is>
          <t>SFT</t>
        </is>
      </c>
      <c r="D28" s="14" t="n">
        <v>110</v>
      </c>
    </row>
    <row r="29">
      <c r="A29" s="11" t="inlineStr">
        <is>
          <t>GRY-13</t>
        </is>
      </c>
      <c r="B29" s="11" t="inlineStr">
        <is>
          <t>RCC staircase including reinforcement and formwork</t>
        </is>
      </c>
      <c r="C29" s="11" t="inlineStr">
        <is>
          <t>LS</t>
        </is>
      </c>
      <c r="D29" s="14" t="n">
        <v>450000</v>
      </c>
    </row>
    <row r="30">
      <c r="A30" s="11" t="inlineStr">
        <is>
          <t>GRY-14</t>
        </is>
      </c>
      <c r="B30" s="11" t="inlineStr">
        <is>
          <t>Parapet walls and coping</t>
        </is>
      </c>
      <c r="C30" s="11" t="inlineStr">
        <is>
          <t>RFT</t>
        </is>
      </c>
      <c r="D30" s="14" t="n">
        <v>350</v>
      </c>
    </row>
    <row r="31">
      <c r="A31" s="11" t="inlineStr">
        <is>
          <t>FIN-01</t>
        </is>
      </c>
      <c r="B31" s="11" t="inlineStr">
        <is>
          <t>Floor tiles / porcelain tiles including bedding and laying</t>
        </is>
      </c>
      <c r="C31" s="11" t="inlineStr">
        <is>
          <t>SFT</t>
        </is>
      </c>
      <c r="D31" s="14" t="n">
        <v>400</v>
      </c>
    </row>
    <row r="32">
      <c r="A32" s="11" t="inlineStr">
        <is>
          <t>FIN-02</t>
        </is>
      </c>
      <c r="B32" s="11" t="inlineStr">
        <is>
          <t>Wall tiles to bathrooms and kitchen areas</t>
        </is>
      </c>
      <c r="C32" s="11" t="inlineStr">
        <is>
          <t>SFT</t>
        </is>
      </c>
      <c r="D32" s="14" t="n">
        <v>420</v>
      </c>
    </row>
    <row r="33">
      <c r="A33" s="11" t="inlineStr">
        <is>
          <t>FIN-03</t>
        </is>
      </c>
      <c r="B33" s="11" t="inlineStr">
        <is>
          <t>Internal wall putty / skim coat</t>
        </is>
      </c>
      <c r="C33" s="11" t="inlineStr">
        <is>
          <t>SFT</t>
        </is>
      </c>
      <c r="D33" s="14" t="n">
        <v>90</v>
      </c>
    </row>
    <row r="34">
      <c r="A34" s="11" t="inlineStr">
        <is>
          <t>FIN-04</t>
        </is>
      </c>
      <c r="B34" s="11" t="inlineStr">
        <is>
          <t>Internal emulsion paint system</t>
        </is>
      </c>
      <c r="C34" s="11" t="inlineStr">
        <is>
          <t>SFT</t>
        </is>
      </c>
      <c r="D34" s="14" t="n">
        <v>120</v>
      </c>
    </row>
    <row r="35">
      <c r="A35" s="11" t="inlineStr">
        <is>
          <t>FIN-05</t>
        </is>
      </c>
      <c r="B35" s="11" t="inlineStr">
        <is>
          <t>External weather-resistant paint system</t>
        </is>
      </c>
      <c r="C35" s="11" t="inlineStr">
        <is>
          <t>SFT</t>
        </is>
      </c>
      <c r="D35" s="14" t="n">
        <v>150</v>
      </c>
    </row>
    <row r="36">
      <c r="A36" s="11" t="inlineStr">
        <is>
          <t>FIN-06</t>
        </is>
      </c>
      <c r="B36" s="11" t="inlineStr">
        <is>
          <t>Ceiling preparation and paint finish</t>
        </is>
      </c>
      <c r="C36" s="11" t="inlineStr">
        <is>
          <t>SFT</t>
        </is>
      </c>
      <c r="D36" s="14" t="n">
        <v>110</v>
      </c>
    </row>
    <row r="37">
      <c r="A37" s="11" t="inlineStr">
        <is>
          <t>FIN-07</t>
        </is>
      </c>
      <c r="B37" s="11" t="inlineStr">
        <is>
          <t>Internal solid-core / engineered timber doors including frames</t>
        </is>
      </c>
      <c r="C37" s="11" t="inlineStr">
        <is>
          <t>NOS</t>
        </is>
      </c>
      <c r="D37" s="14" t="n">
        <v>45000</v>
      </c>
    </row>
    <row r="38">
      <c r="A38" s="11" t="inlineStr">
        <is>
          <t>FIN-08</t>
        </is>
      </c>
      <c r="B38" s="11" t="inlineStr">
        <is>
          <t>External main door including frame and hardware</t>
        </is>
      </c>
      <c r="C38" s="11" t="inlineStr">
        <is>
          <t>NOS</t>
        </is>
      </c>
      <c r="D38" s="14" t="n">
        <v>125000</v>
      </c>
    </row>
    <row r="39">
      <c r="A39" s="11" t="inlineStr">
        <is>
          <t>FIN-09</t>
        </is>
      </c>
      <c r="B39" s="11" t="inlineStr">
        <is>
          <t>Aluminium/uPVC windows and glazed openings</t>
        </is>
      </c>
      <c r="C39" s="11" t="inlineStr">
        <is>
          <t>SFT</t>
        </is>
      </c>
      <c r="D39" s="14" t="n">
        <v>1600</v>
      </c>
    </row>
    <row r="40">
      <c r="A40" s="11" t="inlineStr">
        <is>
          <t>FIN-10</t>
        </is>
      </c>
      <c r="B40" s="11" t="inlineStr">
        <is>
          <t>Staircase stone/tile finish including risers and treads</t>
        </is>
      </c>
      <c r="C40" s="11" t="inlineStr">
        <is>
          <t>SFT</t>
        </is>
      </c>
      <c r="D40" s="14" t="n">
        <v>500</v>
      </c>
    </row>
    <row r="41">
      <c r="A41" s="11" t="inlineStr">
        <is>
          <t>FIN-11</t>
        </is>
      </c>
      <c r="B41" s="11" t="inlineStr">
        <is>
          <t>Kitchen civil finish: counter base, countertop and tiled backsplash</t>
        </is>
      </c>
      <c r="C41" s="11" t="inlineStr">
        <is>
          <t>LS</t>
        </is>
      </c>
      <c r="D41" s="14" t="n">
        <v>400000</v>
      </c>
    </row>
    <row r="42">
      <c r="A42" s="11" t="inlineStr">
        <is>
          <t>FIN-12</t>
        </is>
      </c>
      <c r="B42" s="11" t="inlineStr">
        <is>
          <t>Bathroom civil finish: vanity counter/top and associated stonework</t>
        </is>
      </c>
      <c r="C42" s="11" t="inlineStr">
        <is>
          <t>LS</t>
        </is>
      </c>
      <c r="D42" s="14" t="n">
        <v>175000</v>
      </c>
    </row>
    <row r="43">
      <c r="A43" s="11" t="inlineStr">
        <is>
          <t>FIN-13</t>
        </is>
      </c>
      <c r="B43" s="11" t="inlineStr">
        <is>
          <t>External paving / porch / entrance civil finishes</t>
        </is>
      </c>
      <c r="C43" s="11" t="inlineStr">
        <is>
          <t>SFT</t>
        </is>
      </c>
      <c r="D43" s="14" t="n">
        <v>350</v>
      </c>
    </row>
    <row r="44">
      <c r="A44" s="11" t="inlineStr">
        <is>
          <t>FIN-14</t>
        </is>
      </c>
      <c r="B44" s="11" t="inlineStr">
        <is>
          <t>Boundary wall plaster and paint / finish</t>
        </is>
      </c>
      <c r="C44" s="11" t="inlineStr">
        <is>
          <t>SFT</t>
        </is>
      </c>
      <c r="D44" s="14" t="n">
        <v>150</v>
      </c>
    </row>
  </sheetData>
  <mergeCells count="3">
    <mergeCell ref="B10:D10"/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2026-10-03T08:58:05Z</dcterms:created>
  <dcterms:modified xmlns:dcterms="http://purl.org/dc/terms/" xmlns:xsi="http://www.w3.org/2001/XMLSchema-instance" xsi:type="dcterms:W3CDTF">2026-10-03T10:46:10Z</dcterms:modified>
</cp:coreProperties>
</file>